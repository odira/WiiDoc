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5" rupBuild="9303"/>
  <x:workbookPr/>
  <x:bookViews>
    <x:workbookView xWindow="-105" yWindow="-105" windowWidth="20730" windowHeight="11760"/>
  </x:bookViews>
  <x:sheets>
    <x:sheet name="KP_AA" sheetId="2" r:id="rId1"/>
    <x:sheet name="info_AA" sheetId="3" state="hidden" r:id="rId2"/>
  </x:sheets>
  <x:calcPr calcId="145621" fullCalcOnLoad="1" forceFullCalc="1"/>
</x:workbook>
</file>

<file path=xl/calcChain.xml><?xml version="1.0" encoding="utf-8"?>
<calcChain xmlns="http://schemas.openxmlformats.org/spreadsheetml/2006/main">
  <c r="F23" i="2" l="1"/>
  <c r="F20" i="2"/>
  <c r="F15" i="2"/>
  <c r="F32" i="2"/>
  <c r="F34" i="2"/>
  <c r="F36" i="2"/>
  <c r="F38" i="2"/>
  <c r="F39" i="2"/>
</calcChain>
</file>

<file path=xl/comments1.xml><?xml version="1.0" encoding="utf-8"?>
<comments xmlns="http://schemas.openxmlformats.org/spreadsheetml/2006/main">
  <authors>
    <author>Первакова Татьяна Владимировна</author>
    <author>Корба Людмила Алексеевна</author>
  </authors>
  <commentList>
    <comment ref="E4" authorId="0">
      <text>
        <r>
          <rPr>
            <b/>
            <sz val="9"/>
            <color indexed="81"/>
            <rFont val="Tahoma"/>
            <family val="2"/>
            <charset val="204"/>
          </rPr>
          <t>Срок действия ЦП</t>
        </r>
        <r>
          <rPr>
            <sz val="8"/>
            <color indexed="81"/>
            <rFont val="Tahoma"/>
            <family val="2"/>
            <charset val="204"/>
          </rPr>
          <t xml:space="preserve">
например: 04.08.2020</t>
        </r>
      </text>
    </comment>
    <comment ref="E5" authorId="0">
      <text>
        <r>
          <rPr>
            <b/>
            <sz val="9"/>
            <color indexed="81"/>
            <rFont val="Tahoma"/>
            <family val="2"/>
            <charset val="204"/>
          </rPr>
          <t xml:space="preserve">ИНН Вашей организации
</t>
        </r>
        <r>
          <rPr>
            <sz val="8"/>
            <color indexed="81"/>
            <rFont val="Tahoma"/>
            <family val="2"/>
            <charset val="204"/>
          </rPr>
          <t>например: 7707083893</t>
        </r>
      </text>
    </comment>
    <comment ref="E6" authorId="0">
      <text>
        <r>
          <rPr>
            <b/>
            <sz val="9"/>
            <color indexed="81"/>
            <rFont val="Tahoma"/>
            <family val="2"/>
            <charset val="204"/>
          </rPr>
          <t xml:space="preserve">краткое наименование Вашей организации
</t>
        </r>
        <r>
          <rPr>
            <sz val="8"/>
            <color indexed="81"/>
            <rFont val="Tahoma"/>
            <family val="2"/>
            <charset val="204"/>
          </rPr>
          <t>например: ООО "Ромашка"</t>
        </r>
      </text>
    </comment>
    <comment ref="C48" authorId="0">
      <text>
        <r>
          <rPr>
            <b/>
            <sz val="8"/>
            <color indexed="81"/>
            <rFont val="Tahoma"/>
            <family val="2"/>
            <charset val="204"/>
          </rPr>
          <t xml:space="preserve">Должность уполномоченного лица
</t>
        </r>
      </text>
    </comment>
    <comment ref="F48" authorId="1">
      <text>
        <r>
          <rPr>
            <b/>
            <sz val="8"/>
            <color indexed="81"/>
            <rFont val="Tahoma"/>
            <family val="2"/>
            <charset val="204"/>
          </rPr>
          <t>ФИО уполномоченного лица</t>
        </r>
      </text>
    </comment>
  </commentList>
</comments>
</file>

<file path=xl/sharedStrings.xml><?xml version="1.0" encoding="utf-8"?>
<x:sst xmlns:x="http://schemas.openxmlformats.org/spreadsheetml/2006/main" count="66" uniqueCount="63">
  <x:si>
    <x:t>от</x:t>
  </x:si>
  <x:si>
    <x:t>Наименование поставщика (исполнителя, подрядчика)</x:t>
  </x:si>
  <x:si>
    <x:t>Наименование предмета закупки</x:t>
  </x:si>
  <x:si>
    <x:t>ОКПД 2</x:t>
  </x:si>
  <x:si>
    <x:t>ОКВЭД 2</x:t>
  </x:si>
  <x:si>
    <x:t>ОКЕИ</x:t>
  </x:si>
  <x:si>
    <x:t>Количество</x:t>
  </x:si>
  <x:si>
    <x:t>№ п/п</x:t>
  </x:si>
  <x:si>
    <x:t>Наименование статей затрат</x:t>
  </x:si>
  <x:si>
    <x:t>Затраты на материалы и покупные изделия - всего, в том числе:</x:t>
  </x:si>
  <x:si>
    <x:t>Сырье и материалы</x:t>
  </x:si>
  <x:si>
    <x:t>Покупные полуфабрикаты и комплектующие изделия</x:t>
  </x:si>
  <x:si>
    <x:t>Возвратные отходы (вычитаются)</x:t>
  </x:si>
  <x:si>
    <x:t>Работы и услуги сторонних организаций производственного характера (контрагенты)</x:t>
  </x:si>
  <x:si>
    <x:t>Транспортно-заготовительные расходы - всего, в том числе:</x:t>
  </x:si>
  <x:si>
    <x:t>на сырье и материалы</x:t>
  </x:si>
  <x:si>
    <x:t>на ПКИ</x:t>
  </x:si>
  <x:si>
    <x:t>Затраты на оплату труда всего: в том числе</x:t>
  </x:si>
  <x:si>
    <x:t>Основная заработная плата</x:t>
  </x:si>
  <x:si>
    <x:t>Дополнительная заработная плата</x:t>
  </x:si>
  <x:si>
    <x:t>Страховые взносы</x:t>
  </x:si>
  <x:si>
    <x:t>Затраты на специальную технологическую оснастку</x:t>
  </x:si>
  <x:si>
    <x:t>Специальные затраты</x:t>
  </x:si>
  <x:si>
    <x:t>Общепроизводственные затраты (командировочные расходы)</x:t>
  </x:si>
  <x:si>
    <x:t>Накладные расходы</x:t>
  </x:si>
  <x:si>
    <x:t>Прочие производственные затраты</x:t>
  </x:si>
  <x:si>
    <x:t>Производственная себестоимость</x:t>
  </x:si>
  <x:si>
    <x:t>Внепроизводственные (коммерческие) затраты</x:t>
  </x:si>
  <x:si>
    <x:t>Полная себестоимость</x:t>
  </x:si>
  <x:si>
    <x:t>Прибыль</x:t>
  </x:si>
  <x:si>
    <x:t>Цена без НДС</x:t>
  </x:si>
  <x:si>
    <x:t>НДС</x:t>
  </x:si>
  <x:si>
    <x:t>Наименование статей</x:t>
  </x:si>
  <x:si>
    <x:t>№№ локальных смет</x:t>
  </x:si>
  <x:si>
    <x:t>В ценах базовых лет</x:t>
  </x:si>
  <x:si>
    <x:t>В текущих ценах</x:t>
  </x:si>
  <x:si>
    <x:t>ЗАТРАТНЫЙ МЕТОД</x:t>
  </x:si>
  <x:si>
    <x:t>ПРОЕКТНО-СМЕТНЫЙ (СМЕТНЫЙ) МЕТОД</x:t>
  </x:si>
  <x:si>
    <x:t>Срок действия ценового предложения</x:t>
  </x:si>
  <x:si>
    <x:t>Ценовое предложение учитывает условия, указанные в запросе ценовой информации, включает в себя стоимость товаров (работ, услуг), все налоги и другие обязательные платежи, все сопутствующие расходы, в том числе транспортные, командировочные и иные, а также все предлагаемые скидки.</x:t>
  </x:si>
  <x:si>
    <x:t>Ценовое предложение  к запросу цен товаров, работ, услуг</x:t>
  </x:si>
  <x:si>
    <x:t>№</x:t>
  </x:si>
  <x:si>
    <x:t>ИНН поставщика 
(исполнителя, подрядчика)</x:t>
  </x:si>
  <x:si>
    <x:t>Итого</x:t>
  </x:si>
  <x:si>
    <x:t>НЕ УДАЛЯТЬ!!!</x:t>
  </x:si>
  <x:si>
    <x:t>ID филиала</x:t>
  </x:si>
  <x:si>
    <x:t>ID отв. лица</x:t>
  </x:si>
  <x:si>
    <x:t>ID ЗЦ</x:t>
  </x:si>
  <x:si>
    <x:t>(подпись)</x:t>
  </x:si>
  <x:si>
    <x:t>Цена с НДС</x:t>
  </x:si>
  <x:si>
    <x:t>Фамилия отв. Лица</x:t>
  </x:si>
  <x:si>
    <x:t>Имя отв. Лица</x:t>
  </x:si>
  <x:si>
    <x:t>Отчество отв. Лица</x:t>
  </x:si>
  <x:si>
    <x:t>Модернизация АС ОрВД Регионального центра Единой системы (Калининград) в части перехода на использование российской операционной системы и доверенных ПАК
</x:t>
  </x:si>
  <x:si>
    <x:t>#Id#</x:t>
  </x:si>
  <x:si>
    <x:t/>
  </x:si>
  <x:si>
    <x:t>#BranchId#</x:t>
  </x:si>
  <x:si>
    <x:t>3202ab36-3a40-41b8-8e82-ea7b2101c4f8</x:t>
  </x:si>
  <x:si>
    <x:t/>
  </x:si>
  <x:si>
    <x:t/>
  </x:si>
  <x:si>
    <x:t/>
  </x:si>
  <x:si>
    <x:t>7731084175</x:t>
  </x:si>
  <x:si>
    <x:t>АО "Концерн ВКО "Алмаз-Антей"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</x:si>
</x:sst>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00"/>
  </numFmts>
  <fonts count="12" x14ac:knownFonts="1">
    <font>
      <sz val="11"/>
      <color theme="1"/>
      <name val="Calibri"/>
      <family val="2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8"/>
      <color indexed="81"/>
      <name val="Tahoma"/>
      <family val="2"/>
      <charset val="204"/>
    </font>
    <font>
      <sz val="8"/>
      <name val="Calibri"/>
      <family val="2"/>
    </font>
    <font>
      <b/>
      <sz val="9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9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Calibri"/>
      <family val="2"/>
      <scheme val="minor"/>
    </font>
    <font>
      <u/>
      <sz val="1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8" fillId="0" borderId="0" xfId="0" applyFont="1"/>
    <xf numFmtId="0" fontId="1" fillId="0" borderId="0" xfId="0" applyFont="1" applyFill="1" applyBorder="1" applyAlignment="1">
      <alignment horizontal="center" vertical="center" wrapText="1"/>
    </xf>
    <xf numFmtId="49" fontId="1" fillId="0" borderId="0" xfId="0" applyNumberFormat="1" applyFont="1" applyFill="1" applyBorder="1" applyAlignment="1">
      <alignment horizontal="center" vertical="center" wrapText="1"/>
    </xf>
    <xf numFmtId="3" fontId="1" fillId="0" borderId="0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right"/>
    </xf>
    <xf numFmtId="0" fontId="9" fillId="0" borderId="0" xfId="0" applyFont="1" applyAlignment="1">
      <alignment horizontal="center" vertical="center" wrapText="1"/>
    </xf>
    <xf numFmtId="1" fontId="8" fillId="0" borderId="0" xfId="0" applyNumberFormat="1" applyFont="1" applyAlignment="1">
      <alignment horizontal="center"/>
    </xf>
    <xf numFmtId="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justify" vertical="center" wrapText="1"/>
    </xf>
    <xf numFmtId="0" fontId="2" fillId="3" borderId="1" xfId="0" applyFont="1" applyFill="1" applyBorder="1" applyAlignment="1">
      <alignment horizontal="center" vertical="center" wrapText="1"/>
    </xf>
    <xf numFmtId="4" fontId="1" fillId="4" borderId="1" xfId="0" applyNumberFormat="1" applyFont="1" applyFill="1" applyBorder="1" applyAlignment="1">
      <alignment vertical="center" wrapText="1"/>
    </xf>
    <xf numFmtId="4" fontId="1" fillId="2" borderId="1" xfId="0" applyNumberFormat="1" applyFont="1" applyFill="1" applyBorder="1" applyAlignment="1">
      <alignment vertical="center" wrapText="1"/>
    </xf>
    <xf numFmtId="4" fontId="1" fillId="5" borderId="1" xfId="0" applyNumberFormat="1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0" fillId="0" borderId="0" xfId="0" applyFont="1"/>
    <xf numFmtId="0" fontId="1" fillId="3" borderId="4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2" fillId="0" borderId="0" xfId="0" applyFont="1" applyAlignment="1"/>
    <xf numFmtId="0" fontId="2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1" fillId="0" borderId="0" xfId="0" applyNumberFormat="1" applyFont="1" applyFill="1" applyAlignment="1">
      <alignment vertical="center"/>
    </xf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0" fontId="11" fillId="0" borderId="5" xfId="0" applyFont="1" applyBorder="1"/>
    <xf numFmtId="0" fontId="7" fillId="0" borderId="0" xfId="0" applyFont="1" applyAlignment="1">
      <alignment horizontal="center" vertical="top"/>
    </xf>
    <xf numFmtId="4" fontId="2" fillId="0" borderId="1" xfId="0" applyNumberFormat="1" applyFont="1" applyBorder="1" applyAlignment="1">
      <alignment horizontal="right"/>
    </xf>
    <xf numFmtId="4" fontId="2" fillId="4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justify" vertical="center" wrapText="1"/>
    </xf>
    <xf numFmtId="0" fontId="1" fillId="0" borderId="0" xfId="0" applyFont="1" applyAlignment="1">
      <alignment vertical="center" wrapText="1"/>
    </xf>
    <xf numFmtId="14" fontId="1" fillId="2" borderId="0" xfId="0" applyNumberFormat="1" applyFont="1" applyFill="1" applyAlignment="1">
      <alignment horizontal="left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 vertical="center" wrapText="1"/>
    </xf>
    <xf numFmtId="14" fontId="1" fillId="0" borderId="0" xfId="0" applyNumberFormat="1" applyFont="1" applyAlignment="1">
      <alignment horizontal="left" vertical="center" wrapText="1"/>
    </xf>
    <xf numFmtId="49" fontId="1" fillId="0" borderId="1" xfId="0" applyNumberFormat="1" applyFont="1" applyBorder="1" applyAlignment="1">
      <alignment horizontal="left" wrapText="1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49" fontId="1" fillId="2" borderId="0" xfId="0" applyNumberFormat="1" applyFont="1" applyFill="1" applyAlignment="1">
      <alignment horizontal="center"/>
    </xf>
    <xf numFmtId="164" fontId="1" fillId="0" borderId="3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49" fontId="1" fillId="2" borderId="0" xfId="0" applyNumberFormat="1" applyFont="1" applyFill="1" applyAlignment="1">
      <alignment horizontal="left" vertical="center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49" fontId="1" fillId="2" borderId="0" xfId="0" applyNumberFormat="1" applyFont="1" applyFill="1" applyAlignment="1">
      <alignment horizontal="center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Pr>
    <x:pageSetUpPr fitToPage="1"/>
  </x:sheetPr>
  <x:dimension ref="B1:I49"/>
  <x:sheetViews>
    <x:sheetView tabSelected="1" workbookViewId="0"/>
  </x:sheetViews>
  <x:sheetFormatPr defaultColWidth="8.85546875" defaultRowHeight="15" x14ac:dyDescent="0.25"/>
  <x:cols>
    <x:col min="1" max="1" width="3.28515625" style="20" customWidth="1"/>
    <x:col min="2" max="2" width="4.140625" style="20" customWidth="1"/>
    <x:col min="3" max="3" width="18" style="20" customWidth="1"/>
    <x:col min="4" max="4" width="15.5703125" style="20" customWidth="1"/>
    <x:col min="5" max="5" width="14.5703125" style="20" customWidth="1"/>
    <x:col min="6" max="9" width="33.7109375" style="20" customWidth="1"/>
    <x:col min="10" max="10" width="16.140625" style="20" customWidth="1"/>
    <x:col min="11" max="16384" width="8.85546875" style="20"/>
  </x:cols>
  <x:sheetData>
    <x:row r="1" spans="2:9" x14ac:dyDescent="0.25">
      <x:c r="B1" s="53" t="s">
        <x:v>40</x:v>
      </x:c>
      <x:c r="C1" s="53"/>
      <x:c r="D1" s="53"/>
      <x:c r="E1" s="53"/>
      <x:c r="F1" s="53"/>
    </x:row>
    <x:row r="2" spans="2:9" x14ac:dyDescent="0.25">
      <x:c r="B2" s="21"/>
      <x:c r="C2" s="19" t="s">
        <x:v>41</x:v>
      </x:c>
      <x:c r="D2" s="39" t="n">
        <x:v>74080</x:v>
      </x:c>
      <x:c r="E2" s="19" t="s">
        <x:v>0</x:v>
      </x:c>
      <x:c r="F2" s="40" t="s">
        <x:v>55</x:v>
      </x:c>
      <x:c r="G2" s="22"/>
    </x:row>
    <x:row r="3" spans="2:9" x14ac:dyDescent="0.25">
      <x:c r="B3" s="23"/>
      <x:c r="C3" s="23"/>
      <x:c r="D3" s="24"/>
      <x:c r="E3" s="24"/>
      <x:c r="F3" s="24"/>
      <x:c r="G3" s="24"/>
    </x:row>
    <x:row r="4" spans="2:9" x14ac:dyDescent="0.25">
      <x:c r="B4" s="46" t="s">
        <x:v>38</x:v>
      </x:c>
      <x:c r="C4" s="46"/>
      <x:c r="D4" s="46"/>
      <x:c r="E4" s="37"/>
      <x:c r="F4" s="38"/>
    </x:row>
    <x:row r="5" spans="2:9" ht="27" customHeight="1" x14ac:dyDescent="0.25">
      <x:c r="B5" s="52" t="s">
        <x:v>42</x:v>
      </x:c>
      <x:c r="C5" s="52"/>
      <x:c r="D5" s="52"/>
      <x:c r="E5" s="51" t="s">
        <x:v>61</x:v>
      </x:c>
      <x:c r="F5" s="51"/>
      <x:c r="G5" s="25"/>
      <x:c r="H5" s="25"/>
      <x:c r="I5" s="26"/>
    </x:row>
    <x:row r="6" spans="2:9" ht="28.9" customHeight="1" x14ac:dyDescent="0.25">
      <x:c r="B6" s="52" t="s">
        <x:v>1</x:v>
      </x:c>
      <x:c r="C6" s="52"/>
      <x:c r="D6" s="52"/>
      <x:c r="E6" s="51" t="s">
        <x:v>62</x:v>
      </x:c>
      <x:c r="F6" s="51"/>
      <x:c r="G6" s="27"/>
      <x:c r="H6" s="27"/>
      <x:c r="I6" s="27"/>
    </x:row>
    <x:row r="7" spans="2:9" x14ac:dyDescent="0.25">
      <x:c r="B7" s="52" t="s">
        <x:v>2</x:v>
      </x:c>
      <x:c r="C7" s="52"/>
      <x:c r="D7" s="52"/>
      <x:c r="E7" s="47" t="s">
        <x:v>53</x:v>
      </x:c>
      <x:c r="F7" s="47"/>
      <x:c r="G7" s="36"/>
      <x:c r="H7" s="36"/>
      <x:c r="I7" s="36"/>
    </x:row>
    <x:row r="9" spans="2:9" x14ac:dyDescent="0.25">
      <x:c r="B9" s="55" t="s">
        <x:v>3</x:v>
      </x:c>
      <x:c r="C9" s="56"/>
      <x:c r="D9" s="56"/>
      <x:c r="E9" s="57"/>
      <x:c r="F9" s="14" t="str">
        <x:v>26.51.20.129</x:v>
      </x:c>
      <x:c r="G9" s="14" t="str">
        <x:v>58.29.50.000</x:v>
      </x:c>
      <x:c r="H9" s="14" t="str">
        <x:v>58.29.50.000</x:v>
      </x:c>
      <x:c r="I9" s="14" t="str">
        <x:v>43.29.19.190</x:v>
      </x:c>
      <x:c r="J9" s="2"/>
    </x:row>
    <x:row r="10" spans="2:9" x14ac:dyDescent="0.25">
      <x:c r="B10" s="55" t="s">
        <x:v>4</x:v>
      </x:c>
      <x:c r="C10" s="56"/>
      <x:c r="D10" s="56"/>
      <x:c r="E10" s="57"/>
      <x:c r="F10" s="15" t="str">
        <x:v>26.51.2</x:v>
      </x:c>
      <x:c r="G10" s="15" t="str">
        <x:v>58.29</x:v>
      </x:c>
      <x:c r="H10" s="15" t="str">
        <x:v>58.29</x:v>
      </x:c>
      <x:c r="I10" s="15" t="str">
        <x:v>43.29</x:v>
      </x:c>
      <x:c r="J10" s="2"/>
    </x:row>
    <x:row r="11" spans="2:9" x14ac:dyDescent="0.25">
      <x:c r="B11" s="55" t="s">
        <x:v>5</x:v>
      </x:c>
      <x:c r="C11" s="56"/>
      <x:c r="D11" s="56"/>
      <x:c r="E11" s="57"/>
      <x:c r="F11" s="15" t="str">
        <x:v>839</x:v>
      </x:c>
      <x:c r="G11" s="15" t="str">
        <x:v>839</x:v>
      </x:c>
      <x:c r="H11" s="15" t="str">
        <x:v>839</x:v>
      </x:c>
      <x:c r="I11" s="15" t="str">
        <x:v>876</x:v>
      </x:c>
      <x:c r="J11" s="3"/>
    </x:row>
    <x:row r="12" spans="2:9" x14ac:dyDescent="0.25">
      <x:c r="B12" s="58" t="s">
        <x:v>6</x:v>
      </x:c>
      <x:c r="C12" s="59"/>
      <x:c r="D12" s="59"/>
      <x:c r="E12" s="60"/>
      <x:c r="F12" s="45" t="str">
        <x:v>      1</x:v>
      </x:c>
      <x:c r="G12" s="45" t="str">
        <x:v>      1</x:v>
      </x:c>
      <x:c r="H12" s="45" t="str">
        <x:v>      1</x:v>
      </x:c>
      <x:c r="I12" s="45" t="str">
        <x:v>      1</x:v>
      </x:c>
      <x:c r="J12" s="4"/>
    </x:row>
    <x:row r="13" spans="2:9" ht="13.9" customHeight="1" x14ac:dyDescent="0.25">
      <x:c r="B13" s="62" t="s">
        <x:v>36</x:v>
      </x:c>
      <x:c r="C13" s="63"/>
      <x:c r="D13" s="63"/>
      <x:c r="E13" s="63"/>
      <x:c r="F13" s="64"/>
      <x:c r="G13" s="64"/>
      <x:c r="H13" s="64"/>
      <x:c r="I13" s="64"/>
      <x:c r="J13" s="16"/>
    </x:row>
    <x:row r="14" spans="2:9" ht="28.5" x14ac:dyDescent="0.25">
      <x:c r="B14" s="10" t="s">
        <x:v>7</x:v>
      </x:c>
      <x:c r="C14" s="55" t="s">
        <x:v>8</x:v>
      </x:c>
      <x:c r="D14" s="56"/>
      <x:c r="E14" s="57"/>
      <x:c r="F14" s="17" t="str">
        <x:v>Поставка Оборудования (изготовление и доставка на объект)</x:v>
      </x:c>
      <x:c r="G14" s="17" t="str">
        <x:v>Поставка комплекта СПО в части доработки по бюллетеню</x:v>
      </x:c>
      <x:c r="H14" s="17" t="str">
        <x:v>Передача прав на использование ПО</x:v>
      </x:c>
      <x:c r="I14" s="17" t="str">
        <x:v>Выполнение монтажных и ПНР, участие в ПИ, инструктаж персонала</x:v>
      </x:c>
      <x:c r="J14" s="16"/>
    </x:row>
    <x:row r="15" spans="2:9" ht="27.6" customHeight="1" x14ac:dyDescent="0.25">
      <x:c r="B15" s="18">
        <x:v>1</x:v>
      </x:c>
      <x:c r="C15" s="48" t="s">
        <x:v>9</x:v>
      </x:c>
      <x:c r="D15" s="49"/>
      <x:c r="E15" s="50"/>
      <x:c r="F15" s="11">
        <x:f>F16+F17+F19+F20-F18</x:f>
        <x:v>0</x:v>
      </x:c>
      <x:c r="G15" s="11">
        <x:f>G16+G17+G19+G20-G18</x:f>
        <x:v>0</x:v>
      </x:c>
      <x:c r="H15" s="11">
        <x:f>H16+H17+H19+H20-H18</x:f>
        <x:v>0</x:v>
      </x:c>
      <x:c r="I15" s="11">
        <x:f>I16+I17+I19+I20-I18</x:f>
        <x:v>0</x:v>
      </x:c>
      <x:c r="J15" s="16"/>
    </x:row>
    <x:row r="16" spans="2:9" x14ac:dyDescent="0.25">
      <x:c r="B16" s="18"/>
      <x:c r="C16" s="48" t="s">
        <x:v>10</x:v>
      </x:c>
      <x:c r="D16" s="49"/>
      <x:c r="E16" s="50"/>
      <x:c r="F16" s="12"/>
      <x:c r="G16" s="12"/>
      <x:c r="H16" s="12"/>
      <x:c r="I16" s="12"/>
      <x:c r="J16" s="16"/>
    </x:row>
    <x:row r="17" spans="2:7" x14ac:dyDescent="0.25">
      <x:c r="B17" s="18"/>
      <x:c r="C17" s="48" t="s">
        <x:v>11</x:v>
      </x:c>
      <x:c r="D17" s="49"/>
      <x:c r="E17" s="50"/>
      <x:c r="F17" s="12"/>
      <x:c r="G17" s="12"/>
      <x:c r="H17" s="12"/>
      <x:c r="I17" s="12"/>
      <x:c r="J17" s="16"/>
    </x:row>
    <x:row r="18" spans="2:7" x14ac:dyDescent="0.25">
      <x:c r="B18" s="18"/>
      <x:c r="C18" s="48" t="s">
        <x:v>12</x:v>
      </x:c>
      <x:c r="D18" s="49"/>
      <x:c r="E18" s="50"/>
      <x:c r="F18" s="12"/>
      <x:c r="G18" s="12"/>
      <x:c r="H18" s="12"/>
      <x:c r="I18" s="12"/>
      <x:c r="J18" s="16"/>
    </x:row>
    <x:row r="19" spans="2:7" x14ac:dyDescent="0.25">
      <x:c r="B19" s="18"/>
      <x:c r="C19" s="48" t="s">
        <x:v>13</x:v>
      </x:c>
      <x:c r="D19" s="49"/>
      <x:c r="E19" s="50"/>
      <x:c r="F19" s="12"/>
      <x:c r="G19" s="12"/>
      <x:c r="H19" s="12"/>
      <x:c r="I19" s="12"/>
      <x:c r="J19" s="16"/>
    </x:row>
    <x:row r="20" spans="2:7" ht="28.9" customHeight="1" x14ac:dyDescent="0.25">
      <x:c r="B20" s="18"/>
      <x:c r="C20" s="48" t="s">
        <x:v>14</x:v>
      </x:c>
      <x:c r="D20" s="49"/>
      <x:c r="E20" s="50"/>
      <x:c r="F20" s="11">
        <x:f>F21+F22</x:f>
        <x:v>0</x:v>
      </x:c>
      <x:c r="G20" s="11">
        <x:f>G21+G22</x:f>
        <x:v>0</x:v>
      </x:c>
      <x:c r="H20" s="11">
        <x:f>H21+H22</x:f>
        <x:v>0</x:v>
      </x:c>
      <x:c r="I20" s="11">
        <x:f>I21+I22</x:f>
        <x:v>0</x:v>
      </x:c>
      <x:c r="J20" s="16"/>
    </x:row>
    <x:row r="21" spans="2:7" x14ac:dyDescent="0.25">
      <x:c r="B21" s="18"/>
      <x:c r="C21" s="48" t="s">
        <x:v>15</x:v>
      </x:c>
      <x:c r="D21" s="49"/>
      <x:c r="E21" s="50"/>
      <x:c r="F21" s="12"/>
      <x:c r="G21" s="12"/>
      <x:c r="H21" s="12"/>
      <x:c r="I21" s="12"/>
      <x:c r="J21" s="16"/>
    </x:row>
    <x:row r="22" spans="2:7" x14ac:dyDescent="0.25">
      <x:c r="B22" s="18"/>
      <x:c r="C22" s="48" t="s">
        <x:v>16</x:v>
      </x:c>
      <x:c r="D22" s="49"/>
      <x:c r="E22" s="50"/>
      <x:c r="F22" s="12"/>
      <x:c r="G22" s="12"/>
      <x:c r="H22" s="12"/>
      <x:c r="I22" s="12"/>
      <x:c r="J22" s="16"/>
    </x:row>
    <x:row r="23" spans="2:7" x14ac:dyDescent="0.25">
      <x:c r="B23" s="18">
        <x:v>2</x:v>
      </x:c>
      <x:c r="C23" s="48" t="s">
        <x:v>17</x:v>
      </x:c>
      <x:c r="D23" s="49"/>
      <x:c r="E23" s="50"/>
      <x:c r="F23" s="11">
        <x:f>F24+F25</x:f>
        <x:v>0</x:v>
      </x:c>
      <x:c r="G23" s="11">
        <x:f>G24+G25</x:f>
        <x:v>0</x:v>
      </x:c>
      <x:c r="H23" s="11">
        <x:f>H24+H25</x:f>
        <x:v>0</x:v>
      </x:c>
      <x:c r="I23" s="11">
        <x:f>I24+I25</x:f>
        <x:v>0</x:v>
      </x:c>
      <x:c r="J23" s="16"/>
    </x:row>
    <x:row r="24" spans="2:7" x14ac:dyDescent="0.25">
      <x:c r="B24" s="18"/>
      <x:c r="C24" s="48" t="s">
        <x:v>18</x:v>
      </x:c>
      <x:c r="D24" s="49"/>
      <x:c r="E24" s="50"/>
      <x:c r="F24" s="12"/>
      <x:c r="G24" s="12"/>
      <x:c r="H24" s="12"/>
      <x:c r="I24" s="12"/>
      <x:c r="J24" s="16"/>
    </x:row>
    <x:row r="25" spans="2:7" x14ac:dyDescent="0.25">
      <x:c r="B25" s="18"/>
      <x:c r="C25" s="48" t="s">
        <x:v>19</x:v>
      </x:c>
      <x:c r="D25" s="49"/>
      <x:c r="E25" s="50"/>
      <x:c r="F25" s="12"/>
      <x:c r="G25" s="12"/>
      <x:c r="H25" s="12"/>
      <x:c r="I25" s="12"/>
      <x:c r="J25" s="16"/>
    </x:row>
    <x:row r="26" spans="2:7" x14ac:dyDescent="0.25">
      <x:c r="B26" s="18">
        <x:v>3</x:v>
      </x:c>
      <x:c r="C26" s="48" t="s">
        <x:v>20</x:v>
      </x:c>
      <x:c r="D26" s="49"/>
      <x:c r="E26" s="50"/>
      <x:c r="F26" s="12"/>
      <x:c r="G26" s="12"/>
      <x:c r="H26" s="12"/>
      <x:c r="I26" s="12"/>
      <x:c r="J26" s="16"/>
    </x:row>
    <x:row r="27" spans="2:7" x14ac:dyDescent="0.25">
      <x:c r="B27" s="18">
        <x:v>4</x:v>
      </x:c>
      <x:c r="C27" s="48" t="s">
        <x:v>21</x:v>
      </x:c>
      <x:c r="D27" s="49"/>
      <x:c r="E27" s="50"/>
      <x:c r="F27" s="12"/>
      <x:c r="G27" s="12"/>
      <x:c r="H27" s="12"/>
      <x:c r="I27" s="12"/>
      <x:c r="J27" s="16"/>
    </x:row>
    <x:row r="28" spans="2:7" x14ac:dyDescent="0.25">
      <x:c r="B28" s="18">
        <x:v>5</x:v>
      </x:c>
      <x:c r="C28" s="48" t="s">
        <x:v>22</x:v>
      </x:c>
      <x:c r="D28" s="49"/>
      <x:c r="E28" s="50"/>
      <x:c r="F28" s="12"/>
      <x:c r="G28" s="12"/>
      <x:c r="H28" s="12"/>
      <x:c r="I28" s="12"/>
      <x:c r="J28" s="16"/>
    </x:row>
    <x:row r="29" spans="2:7" ht="13.9" customHeight="1" x14ac:dyDescent="0.25">
      <x:c r="B29" s="18">
        <x:v>6</x:v>
      </x:c>
      <x:c r="C29" s="48" t="s">
        <x:v>23</x:v>
      </x:c>
      <x:c r="D29" s="49"/>
      <x:c r="E29" s="50"/>
      <x:c r="F29" s="12"/>
      <x:c r="G29" s="12"/>
      <x:c r="H29" s="12"/>
      <x:c r="I29" s="12"/>
      <x:c r="J29" s="16"/>
    </x:row>
    <x:row r="30" spans="2:7" x14ac:dyDescent="0.25">
      <x:c r="B30" s="18">
        <x:v>7</x:v>
      </x:c>
      <x:c r="C30" s="48" t="s">
        <x:v>24</x:v>
      </x:c>
      <x:c r="D30" s="49"/>
      <x:c r="E30" s="50"/>
      <x:c r="F30" s="12"/>
      <x:c r="G30" s="12"/>
      <x:c r="H30" s="12"/>
      <x:c r="I30" s="12"/>
      <x:c r="J30" s="16"/>
    </x:row>
    <x:row r="31" spans="2:7" x14ac:dyDescent="0.25">
      <x:c r="B31" s="18">
        <x:v>8</x:v>
      </x:c>
      <x:c r="C31" s="48" t="s">
        <x:v>25</x:v>
      </x:c>
      <x:c r="D31" s="49"/>
      <x:c r="E31" s="50"/>
      <x:c r="F31" s="12"/>
      <x:c r="G31" s="12"/>
      <x:c r="H31" s="12"/>
      <x:c r="I31" s="12"/>
      <x:c r="J31" s="16"/>
    </x:row>
    <x:row r="32" spans="2:7" x14ac:dyDescent="0.25">
      <x:c r="B32" s="18">
        <x:v>9</x:v>
      </x:c>
      <x:c r="C32" s="48" t="s">
        <x:v>26</x:v>
      </x:c>
      <x:c r="D32" s="49"/>
      <x:c r="E32" s="50"/>
      <x:c r="F32" s="13">
        <x:f>F15+F23+F26+F27+F28+F29+F30+F31</x:f>
        <x:v>0</x:v>
      </x:c>
      <x:c r="G32" s="13">
        <x:f>G15+G23+G26+G27+G28+G29+G30+G31</x:f>
        <x:v>0</x:v>
      </x:c>
      <x:c r="H32" s="13">
        <x:f>H15+H23+H26+H27+H28+H29+H30+H31</x:f>
        <x:v>0</x:v>
      </x:c>
      <x:c r="I32" s="13">
        <x:f>I15+I23+I26+I27+I28+I29+I30+I31</x:f>
        <x:v>0</x:v>
      </x:c>
      <x:c r="J32" s="16"/>
    </x:row>
    <x:row r="33" spans="2:7" x14ac:dyDescent="0.25">
      <x:c r="B33" s="18">
        <x:v>10</x:v>
      </x:c>
      <x:c r="C33" s="48" t="s">
        <x:v>27</x:v>
      </x:c>
      <x:c r="D33" s="49"/>
      <x:c r="E33" s="50"/>
      <x:c r="F33" s="12"/>
      <x:c r="G33" s="12"/>
      <x:c r="H33" s="12"/>
      <x:c r="I33" s="12"/>
      <x:c r="J33" s="16"/>
    </x:row>
    <x:row r="34" spans="2:7" x14ac:dyDescent="0.25">
      <x:c r="B34" s="18">
        <x:v>11</x:v>
      </x:c>
      <x:c r="C34" s="48" t="s">
        <x:v>28</x:v>
      </x:c>
      <x:c r="D34" s="49"/>
      <x:c r="E34" s="50"/>
      <x:c r="F34" s="11">
        <x:f>F32+F33</x:f>
        <x:v>0</x:v>
      </x:c>
      <x:c r="G34" s="11">
        <x:f>G32+G33</x:f>
        <x:v>0</x:v>
      </x:c>
      <x:c r="H34" s="11">
        <x:f>H32+H33</x:f>
        <x:v>0</x:v>
      </x:c>
      <x:c r="I34" s="11">
        <x:f>I32+I33</x:f>
        <x:v>0</x:v>
      </x:c>
      <x:c r="J34" s="16"/>
    </x:row>
    <x:row r="35" spans="2:7" x14ac:dyDescent="0.25">
      <x:c r="B35" s="18">
        <x:v>12</x:v>
      </x:c>
      <x:c r="C35" s="48" t="s">
        <x:v>29</x:v>
      </x:c>
      <x:c r="D35" s="49"/>
      <x:c r="E35" s="50"/>
      <x:c r="F35" s="12"/>
      <x:c r="G35" s="12"/>
      <x:c r="H35" s="12"/>
      <x:c r="I35" s="12"/>
      <x:c r="J35" s="16"/>
    </x:row>
    <x:row r="36" spans="2:7" x14ac:dyDescent="0.25">
      <x:c r="B36" s="18">
        <x:v>13</x:v>
      </x:c>
      <x:c r="C36" s="48" t="s">
        <x:v>30</x:v>
      </x:c>
      <x:c r="D36" s="49"/>
      <x:c r="E36" s="50"/>
      <x:c r="F36" s="11">
        <x:f>F34+F35</x:f>
        <x:v>0</x:v>
      </x:c>
      <x:c r="G36" s="11">
        <x:f>G34+G35</x:f>
        <x:v>0</x:v>
      </x:c>
      <x:c r="H36" s="11">
        <x:f>H34+H35</x:f>
        <x:v>0</x:v>
      </x:c>
      <x:c r="I36" s="11">
        <x:f>I34+I35</x:f>
        <x:v>0</x:v>
      </x:c>
      <x:c r="J36" s="16"/>
    </x:row>
    <x:row r="37" spans="2:7" x14ac:dyDescent="0.25">
      <x:c r="B37" s="18">
        <x:v>14</x:v>
      </x:c>
      <x:c r="C37" s="48" t="s">
        <x:v>31</x:v>
      </x:c>
      <x:c r="D37" s="49"/>
      <x:c r="E37" s="50"/>
      <x:c r="F37" s="12"/>
      <x:c r="G37" s="12"/>
      <x:c r="H37" s="12"/>
      <x:c r="I37" s="12"/>
      <x:c r="J37" s="16"/>
    </x:row>
    <x:row r="38" spans="2:7" x14ac:dyDescent="0.25">
      <x:c r="B38" s="18">
        <x:v>15</x:v>
      </x:c>
      <x:c r="C38" s="48" t="s">
        <x:v>49</x:v>
      </x:c>
      <x:c r="D38" s="49"/>
      <x:c r="E38" s="50"/>
      <x:c r="F38" s="11">
        <x:f>F36+F37</x:f>
        <x:v>0</x:v>
      </x:c>
      <x:c r="G38" s="11">
        <x:f>G36+G37</x:f>
        <x:v>0</x:v>
      </x:c>
      <x:c r="H38" s="11">
        <x:f>H36+H37</x:f>
        <x:v>0</x:v>
      </x:c>
      <x:c r="I38" s="11">
        <x:f>I36+I37</x:f>
        <x:v>0</x:v>
      </x:c>
      <x:c r="J38" s="16"/>
    </x:row>
    <x:row r="39" spans="2:7" x14ac:dyDescent="0.25">
      <x:c r="B39" s="18"/>
      <x:c r="C39" s="65" t="s">
        <x:v>43</x:v>
      </x:c>
      <x:c r="D39" s="66"/>
      <x:c r="E39" s="67"/>
      <x:c r="F39" s="33">
        <x:f>F38*F12</x:f>
        <x:v>0</x:v>
      </x:c>
      <x:c r="G39" s="33">
        <x:f>G38*G12</x:f>
        <x:v>0</x:v>
      </x:c>
      <x:c r="H39" s="33">
        <x:f>H38*H12</x:f>
        <x:v>0</x:v>
      </x:c>
      <x:c r="I39" s="33">
        <x:f>I38*I12</x:f>
        <x:v>0</x:v>
      </x:c>
      <x:c r="J39" s="34">
        <x:f>SUM(F39:I39)</x:f>
      </x:c>
    </x:row>
    <x:row r="40" spans="2:7" ht="13.9" customHeight="1" x14ac:dyDescent="0.25">
      <x:c r="B40" s="62" t="s">
        <x:v>37</x:v>
      </x:c>
      <x:c r="C40" s="63"/>
      <x:c r="D40" s="63"/>
      <x:c r="E40" s="63"/>
      <x:c r="F40" s="63"/>
      <x:c r="G40" s="63"/>
      <x:c r="H40" s="63"/>
      <x:c r="I40" s="63"/>
      <x:c r="J40" s="64"/>
    </x:row>
    <x:row r="41" spans="2:7" ht="28.5" x14ac:dyDescent="0.25">
      <x:c r="B41" s="10" t="s">
        <x:v>7</x:v>
      </x:c>
      <x:c r="C41" s="55" t="s">
        <x:v>32</x:v>
      </x:c>
      <x:c r="D41" s="56"/>
      <x:c r="E41" s="57"/>
      <x:c r="F41" s="17" t="str">
        <x:v>Поставка Оборудования (изготовление и доставка на объект)</x:v>
      </x:c>
      <x:c r="G41" s="17" t="str">
        <x:v>Поставка комплекта СПО в части доработки по бюллетеню</x:v>
      </x:c>
      <x:c r="H41" s="17" t="str">
        <x:v>Передача прав на использование ПО</x:v>
      </x:c>
      <x:c r="I41" s="17" t="str">
        <x:v>Выполнение монтажных и ПНР, участие в ПИ, инструктаж персонала</x:v>
      </x:c>
      <x:c r="J41" s="10" t="s">
        <x:v>43</x:v>
      </x:c>
    </x:row>
    <x:row r="42" spans="2:7" x14ac:dyDescent="0.25">
      <x:c r="B42" s="18">
        <x:v>1</x:v>
      </x:c>
      <x:c r="C42" s="48" t="s">
        <x:v>33</x:v>
      </x:c>
      <x:c r="D42" s="49"/>
      <x:c r="E42" s="50"/>
      <x:c r="F42" s="9"/>
      <x:c r="G42" s="9"/>
      <x:c r="H42" s="9"/>
      <x:c r="I42" s="9"/>
      <x:c r="J42" s="35"/>
    </x:row>
    <x:row r="43" spans="2:7" x14ac:dyDescent="0.25">
      <x:c r="B43" s="18">
        <x:v>2</x:v>
      </x:c>
      <x:c r="C43" s="48" t="s">
        <x:v>34</x:v>
      </x:c>
      <x:c r="D43" s="49"/>
      <x:c r="E43" s="50"/>
      <x:c r="F43" s="8"/>
      <x:c r="G43" s="8"/>
      <x:c r="H43" s="8"/>
      <x:c r="I43" s="8"/>
      <x:c r="J43" s="34">
        <x:f>SUM(F43:I43)</x:f>
      </x:c>
    </x:row>
    <x:row r="44" spans="2:7" x14ac:dyDescent="0.25">
      <x:c r="B44" s="18">
        <x:v>3</x:v>
      </x:c>
      <x:c r="C44" s="48" t="s">
        <x:v>35</x:v>
      </x:c>
      <x:c r="D44" s="49"/>
      <x:c r="E44" s="50"/>
      <x:c r="F44" s="8"/>
      <x:c r="G44" s="8"/>
      <x:c r="H44" s="8"/>
      <x:c r="I44" s="8"/>
      <x:c r="J44" s="34">
        <x:f>SUM(F44:I44)</x:f>
      </x:c>
    </x:row>
    <x:row r="45" spans="2:7" x14ac:dyDescent="0.25">
      <x:c r="B45" s="25"/>
      <x:c r="C45" s="25"/>
      <x:c r="E45" s="16"/>
    </x:row>
    <x:row r="46" spans="2:7" ht="58.5" customHeight="1" x14ac:dyDescent="0.25">
      <x:c r="B46" s="54" t="s">
        <x:v>39</x:v>
      </x:c>
      <x:c r="C46" s="54"/>
      <x:c r="D46" s="54"/>
      <x:c r="E46" s="54"/>
      <x:c r="F46" s="54"/>
    </x:row>
    <x:row r="47" spans="2:7" x14ac:dyDescent="0.25">
      <x:c r="B47" s="28"/>
      <x:c r="C47" s="28"/>
      <x:c r="D47" s="29"/>
      <x:c r="E47" s="30"/>
    </x:row>
    <x:row r="48" spans="2:7" s="16" customFormat="1" x14ac:dyDescent="0.25">
      <x:c r="C48" s="61"/>
      <x:c r="D48" s="61"/>
      <x:c r="E48" s="31"/>
      <x:c r="F48" s="44"/>
    </x:row>
    <x:row r="49" spans="5:5" x14ac:dyDescent="0.25">
      <x:c r="E49" s="32" t="s">
        <x:v>48</x:v>
      </x:c>
    </x:row>
  </x:sheetData>
  <x:mergeCells count="46">
    <x:mergeCell ref="C48:D48"/>
    <x:mergeCell ref="B13:I13"/>
    <x:mergeCell ref="C32:E32"/>
    <x:mergeCell ref="C33:E33"/>
    <x:mergeCell ref="C34:E34"/>
    <x:mergeCell ref="C19:E19"/>
    <x:mergeCell ref="C20:E20"/>
    <x:mergeCell ref="C21:E21"/>
    <x:mergeCell ref="C22:E22"/>
    <x:mergeCell ref="C23:E23"/>
    <x:mergeCell ref="C42:E42"/>
    <x:mergeCell ref="C41:E41"/>
    <x:mergeCell ref="C39:E39"/>
    <x:mergeCell ref="B40:J40"/>
    <x:mergeCell ref="B1:F1"/>
    <x:mergeCell ref="B46:F46"/>
    <x:mergeCell ref="C14:E14"/>
    <x:mergeCell ref="C15:E15"/>
    <x:mergeCell ref="B9:E9"/>
    <x:mergeCell ref="B10:E10"/>
    <x:mergeCell ref="B11:E11"/>
    <x:mergeCell ref="B12:E12"/>
    <x:mergeCell ref="C43:E43"/>
    <x:mergeCell ref="C44:E44"/>
    <x:mergeCell ref="C16:E16"/>
    <x:mergeCell ref="C36:E36"/>
    <x:mergeCell ref="C27:E27"/>
    <x:mergeCell ref="C28:E28"/>
    <x:mergeCell ref="C29:E29"/>
    <x:mergeCell ref="C30:E30"/>
    <x:mergeCell ref="B4:D4"/>
    <x:mergeCell ref="E7:F7"/>
    <x:mergeCell ref="C17:E17"/>
    <x:mergeCell ref="C18:E18"/>
    <x:mergeCell ref="C38:E38"/>
    <x:mergeCell ref="C35:E35"/>
    <x:mergeCell ref="E5:F5"/>
    <x:mergeCell ref="E6:F6"/>
    <x:mergeCell ref="B6:D6"/>
    <x:mergeCell ref="B7:D7"/>
    <x:mergeCell ref="B5:D5"/>
    <x:mergeCell ref="C37:E37"/>
    <x:mergeCell ref="C24:E24"/>
    <x:mergeCell ref="C25:E25"/>
    <x:mergeCell ref="C26:E26"/>
    <x:mergeCell ref="C31:E31"/>
  </x:mergeCells>
  <x:phoneticPr fontId="4" type="noConversion"/>
  <x:dataValidations count="4">
    <x:dataValidation type="date" showInputMessage="1" showErrorMessage="1" errorTitle="Срок действия введен некорретно" error="Срок действия КП должен быть больше текущей даты" sqref="D47">
      <x:formula1>43831</x:formula1>
      <x:formula2>109575</x:formula2>
    </x:dataValidation>
    <x:dataValidation type="date" showInputMessage="1" showErrorMessage="1" errorTitle="Ошибка в данных" error="Срок действия введен некорретно" sqref="E4">
      <x:formula1>43831</x:formula1>
      <x:formula2>109575</x:formula2>
    </x:dataValidation>
    <x:dataValidation type="textLength" allowBlank="1" showInputMessage="1" showErrorMessage="1" errorTitle="ИНН введен некорректно" error="ИНН должен содержать 10 цифр (для ЮЛ) либо 12 цифр (для ФЛ и ИП)" promptTitle="Введите ИНН организации" sqref="E5:F5">
      <x:formula1>10</x:formula1>
      <x:formula2>12</x:formula2>
    </x:dataValidation>
    <x:dataValidation showInputMessage="1" showErrorMessage="1" errorTitle="Срок действия введен некорретно" error="Срок действия КП должен быть больше текущей даты" sqref="C48:D48"/>
  </x:dataValidations>
  <x:pageMargins left="0.7" right="0.7" top="0.75" bottom="0.75" header="0.3" footer="0.3"/>
  <x:pageSetup paperSize="9" scale="50" orientation="portrait" r:id="rId1"/>
  <x:legacyDrawing r:id="rId2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C8"/>
  <x:sheetViews>
    <x:sheetView workbookViewId="0">
      <x:selection activeCell="B11" sqref="B11"/>
    </x:sheetView>
  </x:sheetViews>
  <x:sheetFormatPr defaultRowHeight="15" x14ac:dyDescent="0.25"/>
  <x:cols>
    <x:col min="1" max="1" width="20.28515625" customWidth="1"/>
    <x:col min="2" max="2" width="33.5703125" customWidth="1"/>
    <x:col min="3" max="3" width="19.5703125" customWidth="1"/>
  </x:cols>
  <x:sheetData>
    <x:row r="1" spans="1:3" x14ac:dyDescent="0.25">
      <x:c r="A1" s="1" t="s">
        <x:v>44</x:v>
      </x:c>
    </x:row>
    <x:row r="2" spans="1:3" hidden="1" x14ac:dyDescent="0.25">
      <x:c r="A2" s="7">
        <x:v>1</x:v>
      </x:c>
    </x:row>
    <x:row r="3" spans="1:3" x14ac:dyDescent="0.25">
      <x:c r="A3" s="5" t="s">
        <x:v>45</x:v>
      </x:c>
      <x:c r="B3" s="41" t="n">
        <x:v>1</x:v>
      </x:c>
    </x:row>
    <x:row r="4" spans="1:3" x14ac:dyDescent="0.25">
      <x:c r="A4" s="5" t="s">
        <x:v>46</x:v>
      </x:c>
      <x:c r="B4" s="41" t="s">
        <x:v>57</x:v>
      </x:c>
      <x:c r="C4" s="6"/>
    </x:row>
    <x:row r="5" spans="1:3" x14ac:dyDescent="0.25">
      <x:c r="A5" s="5" t="s">
        <x:v>50</x:v>
      </x:c>
      <x:c r="B5" s="41" t="s">
        <x:v>58</x:v>
      </x:c>
      <x:c r="C5" s="6"/>
    </x:row>
    <x:row r="6" spans="1:3" x14ac:dyDescent="0.25">
      <x:c r="A6" s="5" t="s">
        <x:v>51</x:v>
      </x:c>
      <x:c r="B6" s="42" t="s">
        <x:v>59</x:v>
      </x:c>
    </x:row>
    <x:row r="7" spans="1:3" x14ac:dyDescent="0.25">
      <x:c r="A7" s="5" t="s">
        <x:v>52</x:v>
      </x:c>
      <x:c r="B7" s="43" t="s">
        <x:v>60</x:v>
      </x:c>
    </x:row>
    <x:row r="8" spans="1:3" x14ac:dyDescent="0.25">
      <x:c r="A8" s="5" t="s">
        <x:v>47</x:v>
      </x:c>
      <x:c r="B8" s="43" t="n">
        <x:v>74080</x:v>
      </x:c>
    </x:row>
  </x:sheetData>
  <x:pageMargins left="0.7" right="0.7" top="0.75" bottom="0.75" header="0.3" footer="0.3"/>
  <x:pageSetup paperSize="9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KP_AA</vt:lpstr>
      <vt:lpstr>info_AA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9h0st</cp:lastModifiedBy>
  <cp:lastPrinted>2020-04-21T07:29:52Z</cp:lastPrinted>
  <dcterms:created xsi:type="dcterms:W3CDTF">2015-06-05T18:19:34Z</dcterms:created>
  <dcterms:modified xsi:type="dcterms:W3CDTF">2020-07-24T15:09:06Z</dcterms:modified>
</cp:coreProperties>
</file>